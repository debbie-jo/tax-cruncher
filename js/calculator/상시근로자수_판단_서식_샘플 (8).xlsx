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시근로자수 판단 서식" state="visible" r:id="rId4"/>
  </sheets>
  <calcPr calcId="171027"/>
</workbook>
</file>

<file path=xl/sharedStrings.xml><?xml version="1.0" encoding="utf-8"?>
<sst xmlns="http://schemas.openxmlformats.org/spreadsheetml/2006/main" count="205" uniqueCount="27">
  <si>
    <t>No.</t>
  </si>
  <si>
    <t>성명</t>
  </si>
  <si>
    <t xml:space="preserve">생년월일
(yyyy-mm-dd)</t>
  </si>
  <si>
    <t xml:space="preserve">상시근로자
여부(Y/N)</t>
  </si>
  <si>
    <t xml:space="preserve">상시근로자
제외사유</t>
  </si>
  <si>
    <t xml:space="preserve">단시간
근로자유형</t>
  </si>
  <si>
    <t xml:space="preserve">수도권
여부(Y/N)</t>
  </si>
  <si>
    <t xml:space="preserve">근로계약체결일
(입사일)</t>
  </si>
  <si>
    <t>퇴사일</t>
  </si>
  <si>
    <t xml:space="preserve">시작근로월
(J)</t>
  </si>
  <si>
    <t xml:space="preserve">종료근로월
(K)</t>
  </si>
  <si>
    <t xml:space="preserve">근로기간
(월수)(L)</t>
  </si>
  <si>
    <t xml:space="preserve">상시근로자수
기여분(M/12)</t>
  </si>
  <si>
    <t xml:space="preserve">청년등
근로기간(N)</t>
  </si>
  <si>
    <t xml:space="preserve">청년등
기여분(N/12)</t>
  </si>
  <si>
    <t xml:space="preserve">만나이
(입사일기준)</t>
  </si>
  <si>
    <t xml:space="preserve">청년해당
(Y/N)</t>
  </si>
  <si>
    <t xml:space="preserve">만34세초과일
(yyyy-mm-dd)</t>
  </si>
  <si>
    <t xml:space="preserve">장애인
(Y/N)</t>
  </si>
  <si>
    <t xml:space="preserve">고령자
(Y/N)
*입사일 기준
만60세이상만Y</t>
  </si>
  <si>
    <t xml:space="preserve">경력단절
(Y/N)</t>
  </si>
  <si>
    <t xml:space="preserve">북한이탈
(Y/N)</t>
  </si>
  <si>
    <t xml:space="preserve">정규직전환
(Y/N)</t>
  </si>
  <si>
    <t xml:space="preserve">육아휴직복귀
(Y/N)</t>
  </si>
  <si>
    <t>Y</t>
  </si>
  <si>
    <t>N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</si>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</sst>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sz val="9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F3F6F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5" customWidth="1"/>
    <col min="4" max="4" width="11" customWidth="1"/>
    <col min="5" max="5" width="24" customWidth="1"/>
    <col min="6" max="6" width="11" customWidth="1"/>
    <col min="7" max="7" width="10" customWidth="1"/>
    <col min="8" max="8" width="16" customWidth="1"/>
    <col min="9" max="9" width="14" customWidth="1"/>
    <col min="10" max="11" width="10" customWidth="1"/>
    <col min="12" max="12" width="12" customWidth="1"/>
    <col min="13" max="13" width="14" customWidth="1"/>
    <col min="14" max="14" width="12" customWidth="1"/>
    <col min="15" max="15" width="14" customWidth="1"/>
    <col min="16" max="17" width="10" customWidth="1"/>
    <col min="18" max="18" width="16" customWidth="1"/>
    <col min="19" max="20" width="8" customWidth="1"/>
    <col min="23" max="23" width="11" customWidth="1"/>
    <col min="24" max="24" width="13" customWidth="1"/>
  </cols>
  <sheetData>
    <row r="1" ht="42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8" customHeight="1" spans="1:24" x14ac:dyDescent="0.25">
      <c r="A2" s="2">
        <v>1</v>
      </c>
      <c r="B2" s="3"/>
      <c r="C2" s="4"/>
      <c r="D2" s="5">
        <f>IF(E2&lt;&gt;"","N","Y")</f>
      </c>
      <c r="E2" s="3"/>
      <c r="F2" s="3"/>
      <c r="G2" s="2" t="s">
        <v>24</v>
      </c>
      <c r="H2" s="4"/>
      <c r="I2" s="4"/>
      <c r="J2" s="6">
        <f>IF(H2&lt;&gt;"",IF(YEAR(H2)&lt;2027,1,MONTH(H2)),"")</f>
      </c>
      <c r="K2" s="6">
        <f>IF(I2&lt;&gt;"",IF(YEAR(I2)&gt;2027,12,IF(DAY(I2)=DAY(EOMONTH(I2,0)),MONTH(I2),MONTH(I2)-1)),12)</f>
      </c>
      <c r="L2" s="6">
        <f>IF(OR(J2="",K2="",K2&lt;J2),0,K2-J2+1)</f>
      </c>
      <c r="M2" s="7">
        <f>IF(D2&lt;&gt;"Y",0,ROUNDDOWN(L2/12,2))</f>
      </c>
      <c r="N2" s="6">
        <f>IF(Q2="Y",L2,0)</f>
      </c>
      <c r="O2" s="7">
        <f>IF(Q2="Y",M2,0)</f>
      </c>
      <c r="P2" s="6">
        <f>IF(AND(C2&lt;&gt;"",H2&lt;&gt;""),DATEDIF(C2,H2,"Y"),"")</f>
      </c>
      <c r="Q2" s="6">
        <f>IF(OR(S2="Y",T2="Y",U2="Y",V2="Y"),"Y",IF(AND(P2&lt;&gt;"",P2&gt;=15,P2&lt;=34),"Y","N"))</f>
      </c>
      <c r="R2" s="8">
        <f>IF(C2&lt;&gt;"",DATE(YEAR(C2)+35,MONTH(C2),DAY(C2)),"")</f>
      </c>
      <c r="S2" s="5" t="s">
        <v>25</v>
      </c>
      <c r="T2" s="6">
        <f>IF(AND(C2&lt;&gt;"",H2&lt;&gt;""),IF(DATEDIF(C2,H2,"Y")&gt;=60,"Y","N"),"N")</f>
      </c>
      <c r="U2" s="5" t="s">
        <v>25</v>
      </c>
      <c r="V2" s="5" t="s">
        <v>25</v>
      </c>
      <c r="W2" s="5" t="s">
        <v>25</v>
      </c>
      <c r="X2" s="5" t="s">
        <v>25</v>
      </c>
    </row>
    <row r="3" ht="18" customHeight="1" spans="1:24" x14ac:dyDescent="0.25">
      <c r="A3" s="2">
        <v>2</v>
      </c>
      <c r="B3" s="3"/>
      <c r="C3" s="4"/>
      <c r="D3" s="5">
        <f>IF(E3&lt;&gt;"","N","Y")</f>
      </c>
      <c r="E3" s="3"/>
      <c r="F3" s="3"/>
      <c r="G3" s="2" t="s">
        <v>24</v>
      </c>
      <c r="H3" s="4"/>
      <c r="I3" s="4"/>
      <c r="J3" s="6">
        <f>IF(H3&lt;&gt;"",IF(YEAR(H3)&lt;2027,1,MONTH(H3)),"")</f>
      </c>
      <c r="K3" s="6">
        <f>IF(I3&lt;&gt;"",IF(YEAR(I3)&gt;2027,12,IF(DAY(I3)=DAY(EOMONTH(I3,0)),MONTH(I3),MONTH(I3)-1)),12)</f>
      </c>
      <c r="L3" s="6">
        <f>IF(OR(J3="",K3="",K3&lt;J3),0,K3-J3+1)</f>
      </c>
      <c r="M3" s="7">
        <f>IF(D3&lt;&gt;"Y",0,ROUNDDOWN(L3/12,2))</f>
      </c>
      <c r="N3" s="6">
        <f>IF(Q3="Y",L3,0)</f>
      </c>
      <c r="O3" s="7">
        <f>IF(Q3="Y",M3,0)</f>
      </c>
      <c r="P3" s="6">
        <f>IF(AND(C3&lt;&gt;"",H3&lt;&gt;""),DATEDIF(C3,H3,"Y"),"")</f>
      </c>
      <c r="Q3" s="6">
        <f>IF(OR(S3="Y",T3="Y",U3="Y",V3="Y"),"Y",IF(AND(P3&lt;&gt;"",P3&gt;=15,P3&lt;=34),"Y","N"))</f>
      </c>
      <c r="R3" s="8">
        <f>IF(C3&lt;&gt;"",DATE(YEAR(C3)+35,MONTH(C3),DAY(C3)),"")</f>
      </c>
      <c r="S3" s="5" t="s">
        <v>25</v>
      </c>
      <c r="T3" s="6">
        <f>IF(AND(C3&lt;&gt;"",H3&lt;&gt;""),IF(DATEDIF(C3,H3,"Y")&gt;=60,"Y","N"),"N")</f>
      </c>
      <c r="U3" s="5" t="s">
        <v>25</v>
      </c>
      <c r="V3" s="5" t="s">
        <v>25</v>
      </c>
      <c r="W3" s="5" t="s">
        <v>25</v>
      </c>
      <c r="X3" s="5" t="s">
        <v>25</v>
      </c>
    </row>
    <row r="4" ht="18" customHeight="1" spans="1:24" x14ac:dyDescent="0.25">
      <c r="A4" s="2">
        <v>3</v>
      </c>
      <c r="B4" s="3"/>
      <c r="C4" s="4"/>
      <c r="D4" s="5">
        <f>IF(E4&lt;&gt;"","N","Y")</f>
      </c>
      <c r="E4" s="3"/>
      <c r="F4" s="3"/>
      <c r="G4" s="2" t="s">
        <v>24</v>
      </c>
      <c r="H4" s="4"/>
      <c r="I4" s="4"/>
      <c r="J4" s="6">
        <f>IF(H4&lt;&gt;"",IF(YEAR(H4)&lt;2027,1,MONTH(H4)),"")</f>
      </c>
      <c r="K4" s="6">
        <f>IF(I4&lt;&gt;"",IF(YEAR(I4)&gt;2027,12,IF(DAY(I4)=DAY(EOMONTH(I4,0)),MONTH(I4),MONTH(I4)-1)),12)</f>
      </c>
      <c r="L4" s="6">
        <f>IF(OR(J4="",K4="",K4&lt;J4),0,K4-J4+1)</f>
      </c>
      <c r="M4" s="7">
        <f>IF(D4&lt;&gt;"Y",0,ROUNDDOWN(L4/12,2))</f>
      </c>
      <c r="N4" s="6">
        <f>IF(Q4="Y",L4,0)</f>
      </c>
      <c r="O4" s="7">
        <f>IF(Q4="Y",M4,0)</f>
      </c>
      <c r="P4" s="6">
        <f>IF(AND(C4&lt;&gt;"",H4&lt;&gt;""),DATEDIF(C4,H4,"Y"),"")</f>
      </c>
      <c r="Q4" s="6">
        <f>IF(OR(S4="Y",T4="Y",U4="Y",V4="Y"),"Y",IF(AND(P4&lt;&gt;"",P4&gt;=15,P4&lt;=34),"Y","N"))</f>
      </c>
      <c r="R4" s="8">
        <f>IF(C4&lt;&gt;"",DATE(YEAR(C4)+35,MONTH(C4),DAY(C4)),"")</f>
      </c>
      <c r="S4" s="5" t="s">
        <v>25</v>
      </c>
      <c r="T4" s="6">
        <f>IF(AND(C4&lt;&gt;"",H4&lt;&gt;""),IF(DATEDIF(C4,H4,"Y")&gt;=60,"Y","N"),"N")</f>
      </c>
      <c r="U4" s="5" t="s">
        <v>25</v>
      </c>
      <c r="V4" s="5" t="s">
        <v>25</v>
      </c>
      <c r="W4" s="5" t="s">
        <v>25</v>
      </c>
      <c r="X4" s="5" t="s">
        <v>25</v>
      </c>
    </row>
    <row r="5" ht="18" customHeight="1" spans="1:24" x14ac:dyDescent="0.25">
      <c r="A5" s="2">
        <v>4</v>
      </c>
      <c r="B5" s="3"/>
      <c r="C5" s="4"/>
      <c r="D5" s="5">
        <f>IF(E5&lt;&gt;"","N","Y")</f>
      </c>
      <c r="E5" s="3"/>
      <c r="F5" s="3"/>
      <c r="G5" s="2" t="s">
        <v>24</v>
      </c>
      <c r="H5" s="4"/>
      <c r="I5" s="4"/>
      <c r="J5" s="6">
        <f>IF(H5&lt;&gt;"",IF(YEAR(H5)&lt;2027,1,MONTH(H5)),"")</f>
      </c>
      <c r="K5" s="6">
        <f>IF(I5&lt;&gt;"",IF(YEAR(I5)&gt;2027,12,IF(DAY(I5)=DAY(EOMONTH(I5,0)),MONTH(I5),MONTH(I5)-1)),12)</f>
      </c>
      <c r="L5" s="6">
        <f>IF(OR(J5="",K5="",K5&lt;J5),0,K5-J5+1)</f>
      </c>
      <c r="M5" s="7">
        <f>IF(D5&lt;&gt;"Y",0,ROUNDDOWN(L5/12,2))</f>
      </c>
      <c r="N5" s="6">
        <f>IF(Q5="Y",L5,0)</f>
      </c>
      <c r="O5" s="7">
        <f>IF(Q5="Y",M5,0)</f>
      </c>
      <c r="P5" s="6">
        <f>IF(AND(C5&lt;&gt;"",H5&lt;&gt;""),DATEDIF(C5,H5,"Y"),"")</f>
      </c>
      <c r="Q5" s="6">
        <f>IF(OR(S5="Y",T5="Y",U5="Y",V5="Y"),"Y",IF(AND(P5&lt;&gt;"",P5&gt;=15,P5&lt;=34),"Y","N"))</f>
      </c>
      <c r="R5" s="8">
        <f>IF(C5&lt;&gt;"",DATE(YEAR(C5)+35,MONTH(C5),DAY(C5)),"")</f>
      </c>
      <c r="S5" s="5" t="s">
        <v>25</v>
      </c>
      <c r="T5" s="6">
        <f>IF(AND(C5&lt;&gt;"",H5&lt;&gt;""),IF(DATEDIF(C5,H5,"Y")&gt;=60,"Y","N"),"N")</f>
      </c>
      <c r="U5" s="5" t="s">
        <v>25</v>
      </c>
      <c r="V5" s="5" t="s">
        <v>25</v>
      </c>
      <c r="W5" s="5" t="s">
        <v>25</v>
      </c>
      <c r="X5" s="5" t="s">
        <v>25</v>
      </c>
    </row>
    <row r="6" ht="18" customHeight="1" spans="1:24" x14ac:dyDescent="0.25">
      <c r="A6" s="2">
        <v>5</v>
      </c>
      <c r="B6" s="3"/>
      <c r="C6" s="4"/>
      <c r="D6" s="5">
        <f>IF(E6&lt;&gt;"","N","Y")</f>
      </c>
      <c r="E6" s="3"/>
      <c r="F6" s="3"/>
      <c r="G6" s="2" t="s">
        <v>24</v>
      </c>
      <c r="H6" s="4"/>
      <c r="I6" s="4"/>
      <c r="J6" s="6">
        <f>IF(H6&lt;&gt;"",IF(YEAR(H6)&lt;2027,1,MONTH(H6)),"")</f>
      </c>
      <c r="K6" s="6">
        <f>IF(I6&lt;&gt;"",IF(YEAR(I6)&gt;2027,12,IF(DAY(I6)=DAY(EOMONTH(I6,0)),MONTH(I6),MONTH(I6)-1)),12)</f>
      </c>
      <c r="L6" s="6">
        <f>IF(OR(J6="",K6="",K6&lt;J6),0,K6-J6+1)</f>
      </c>
      <c r="M6" s="7">
        <f>IF(D6&lt;&gt;"Y",0,ROUNDDOWN(L6/12,2))</f>
      </c>
      <c r="N6" s="6">
        <f>IF(Q6="Y",L6,0)</f>
      </c>
      <c r="O6" s="7">
        <f>IF(Q6="Y",M6,0)</f>
      </c>
      <c r="P6" s="6">
        <f>IF(AND(C6&lt;&gt;"",H6&lt;&gt;""),DATEDIF(C6,H6,"Y"),"")</f>
      </c>
      <c r="Q6" s="6">
        <f>IF(OR(S6="Y",T6="Y",U6="Y",V6="Y"),"Y",IF(AND(P6&lt;&gt;"",P6&gt;=15,P6&lt;=34),"Y","N"))</f>
      </c>
      <c r="R6" s="8">
        <f>IF(C6&lt;&gt;"",DATE(YEAR(C6)+35,MONTH(C6),DAY(C6)),"")</f>
      </c>
      <c r="S6" s="5" t="s">
        <v>25</v>
      </c>
      <c r="T6" s="6">
        <f>IF(AND(C6&lt;&gt;"",H6&lt;&gt;""),IF(DATEDIF(C6,H6,"Y")&gt;=60,"Y","N"),"N")</f>
      </c>
      <c r="U6" s="5" t="s">
        <v>25</v>
      </c>
      <c r="V6" s="5" t="s">
        <v>25</v>
      </c>
      <c r="W6" s="5" t="s">
        <v>25</v>
      </c>
      <c r="X6" s="5" t="s">
        <v>25</v>
      </c>
    </row>
    <row r="7" ht="18" customHeight="1" spans="1:24" x14ac:dyDescent="0.25">
      <c r="A7" s="2">
        <v>6</v>
      </c>
      <c r="B7" s="3"/>
      <c r="C7" s="4"/>
      <c r="D7" s="5">
        <f>IF(E7&lt;&gt;"","N","Y")</f>
      </c>
      <c r="E7" s="3"/>
      <c r="F7" s="3"/>
      <c r="G7" s="2" t="s">
        <v>24</v>
      </c>
      <c r="H7" s="4"/>
      <c r="I7" s="4"/>
      <c r="J7" s="6">
        <f>IF(H7&lt;&gt;"",IF(YEAR(H7)&lt;2027,1,MONTH(H7)),"")</f>
      </c>
      <c r="K7" s="6">
        <f>IF(I7&lt;&gt;"",IF(YEAR(I7)&gt;2027,12,IF(DAY(I7)=DAY(EOMONTH(I7,0)),MONTH(I7),MONTH(I7)-1)),12)</f>
      </c>
      <c r="L7" s="6">
        <f>IF(OR(J7="",K7="",K7&lt;J7),0,K7-J7+1)</f>
      </c>
      <c r="M7" s="7">
        <f>IF(D7&lt;&gt;"Y",0,ROUNDDOWN(L7/12,2))</f>
      </c>
      <c r="N7" s="6">
        <f>IF(Q7="Y",L7,0)</f>
      </c>
      <c r="O7" s="7">
        <f>IF(Q7="Y",M7,0)</f>
      </c>
      <c r="P7" s="6">
        <f>IF(AND(C7&lt;&gt;"",H7&lt;&gt;""),DATEDIF(C7,H7,"Y"),"")</f>
      </c>
      <c r="Q7" s="6">
        <f>IF(OR(S7="Y",T7="Y",U7="Y",V7="Y"),"Y",IF(AND(P7&lt;&gt;"",P7&gt;=15,P7&lt;=34),"Y","N"))</f>
      </c>
      <c r="R7" s="8">
        <f>IF(C7&lt;&gt;"",DATE(YEAR(C7)+35,MONTH(C7),DAY(C7)),"")</f>
      </c>
      <c r="S7" s="5" t="s">
        <v>25</v>
      </c>
      <c r="T7" s="6">
        <f>IF(AND(C7&lt;&gt;"",H7&lt;&gt;""),IF(DATEDIF(C7,H7,"Y")&gt;=60,"Y","N"),"N")</f>
      </c>
      <c r="U7" s="5" t="s">
        <v>25</v>
      </c>
      <c r="V7" s="5" t="s">
        <v>25</v>
      </c>
      <c r="W7" s="5" t="s">
        <v>25</v>
      </c>
      <c r="X7" s="5" t="s">
        <v>25</v>
      </c>
    </row>
    <row r="8" ht="18" customHeight="1" spans="1:24" x14ac:dyDescent="0.25">
      <c r="A8" s="2">
        <v>7</v>
      </c>
      <c r="B8" s="3"/>
      <c r="C8" s="4"/>
      <c r="D8" s="5">
        <f>IF(E8&lt;&gt;"","N","Y")</f>
      </c>
      <c r="E8" s="3"/>
      <c r="F8" s="3"/>
      <c r="G8" s="2" t="s">
        <v>24</v>
      </c>
      <c r="H8" s="4"/>
      <c r="I8" s="4"/>
      <c r="J8" s="6">
        <f>IF(H8&lt;&gt;"",IF(YEAR(H8)&lt;2027,1,MONTH(H8)),"")</f>
      </c>
      <c r="K8" s="6">
        <f>IF(I8&lt;&gt;"",IF(YEAR(I8)&gt;2027,12,IF(DAY(I8)=DAY(EOMONTH(I8,0)),MONTH(I8),MONTH(I8)-1)),12)</f>
      </c>
      <c r="L8" s="6">
        <f>IF(OR(J8="",K8="",K8&lt;J8),0,K8-J8+1)</f>
      </c>
      <c r="M8" s="7">
        <f>IF(D8&lt;&gt;"Y",0,ROUNDDOWN(L8/12,2))</f>
      </c>
      <c r="N8" s="6">
        <f>IF(Q8="Y",L8,0)</f>
      </c>
      <c r="O8" s="7">
        <f>IF(Q8="Y",M8,0)</f>
      </c>
      <c r="P8" s="6">
        <f>IF(AND(C8&lt;&gt;"",H8&lt;&gt;""),DATEDIF(C8,H8,"Y"),"")</f>
      </c>
      <c r="Q8" s="6">
        <f>IF(OR(S8="Y",T8="Y",U8="Y",V8="Y"),"Y",IF(AND(P8&lt;&gt;"",P8&gt;=15,P8&lt;=34),"Y","N"))</f>
      </c>
      <c r="R8" s="8">
        <f>IF(C8&lt;&gt;"",DATE(YEAR(C8)+35,MONTH(C8),DAY(C8)),"")</f>
      </c>
      <c r="S8" s="5" t="s">
        <v>25</v>
      </c>
      <c r="T8" s="6">
        <f>IF(AND(C8&lt;&gt;"",H8&lt;&gt;""),IF(DATEDIF(C8,H8,"Y")&gt;=60,"Y","N"),"N")</f>
      </c>
      <c r="U8" s="5" t="s">
        <v>25</v>
      </c>
      <c r="V8" s="5" t="s">
        <v>25</v>
      </c>
      <c r="W8" s="5" t="s">
        <v>25</v>
      </c>
      <c r="X8" s="5" t="s">
        <v>25</v>
      </c>
    </row>
    <row r="9" ht="18" customHeight="1" spans="1:24" x14ac:dyDescent="0.25">
      <c r="A9" s="2">
        <v>8</v>
      </c>
      <c r="B9" s="3"/>
      <c r="C9" s="4"/>
      <c r="D9" s="5">
        <f>IF(E9&lt;&gt;"","N","Y")</f>
      </c>
      <c r="E9" s="3"/>
      <c r="F9" s="3"/>
      <c r="G9" s="2" t="s">
        <v>24</v>
      </c>
      <c r="H9" s="4"/>
      <c r="I9" s="4"/>
      <c r="J9" s="6">
        <f>IF(H9&lt;&gt;"",IF(YEAR(H9)&lt;2027,1,MONTH(H9)),"")</f>
      </c>
      <c r="K9" s="6">
        <f>IF(I9&lt;&gt;"",IF(YEAR(I9)&gt;2027,12,IF(DAY(I9)=DAY(EOMONTH(I9,0)),MONTH(I9),MONTH(I9)-1)),12)</f>
      </c>
      <c r="L9" s="6">
        <f>IF(OR(J9="",K9="",K9&lt;J9),0,K9-J9+1)</f>
      </c>
      <c r="M9" s="7">
        <f>IF(D9&lt;&gt;"Y",0,ROUNDDOWN(L9/12,2))</f>
      </c>
      <c r="N9" s="6">
        <f>IF(Q9="Y",L9,0)</f>
      </c>
      <c r="O9" s="7">
        <f>IF(Q9="Y",M9,0)</f>
      </c>
      <c r="P9" s="6">
        <f>IF(AND(C9&lt;&gt;"",H9&lt;&gt;""),DATEDIF(C9,H9,"Y"),"")</f>
      </c>
      <c r="Q9" s="6">
        <f>IF(OR(S9="Y",T9="Y",U9="Y",V9="Y"),"Y",IF(AND(P9&lt;&gt;"",P9&gt;=15,P9&lt;=34),"Y","N"))</f>
      </c>
      <c r="R9" s="8">
        <f>IF(C9&lt;&gt;"",DATE(YEAR(C9)+35,MONTH(C9),DAY(C9)),"")</f>
      </c>
      <c r="S9" s="5" t="s">
        <v>25</v>
      </c>
      <c r="T9" s="6">
        <f>IF(AND(C9&lt;&gt;"",H9&lt;&gt;""),IF(DATEDIF(C9,H9,"Y")&gt;=60,"Y","N"),"N")</f>
      </c>
      <c r="U9" s="5" t="s">
        <v>25</v>
      </c>
      <c r="V9" s="5" t="s">
        <v>25</v>
      </c>
      <c r="W9" s="5" t="s">
        <v>25</v>
      </c>
      <c r="X9" s="5" t="s">
        <v>25</v>
      </c>
    </row>
    <row r="10" ht="18" customHeight="1" spans="1:24" x14ac:dyDescent="0.25">
      <c r="A10" s="2">
        <v>9</v>
      </c>
      <c r="B10" s="3"/>
      <c r="C10" s="4"/>
      <c r="D10" s="5">
        <f>IF(E10&lt;&gt;"","N","Y")</f>
      </c>
      <c r="E10" s="3"/>
      <c r="F10" s="3"/>
      <c r="G10" s="2" t="s">
        <v>24</v>
      </c>
      <c r="H10" s="4"/>
      <c r="I10" s="4"/>
      <c r="J10" s="6">
        <f>IF(H10&lt;&gt;"",IF(YEAR(H10)&lt;2027,1,MONTH(H10)),"")</f>
      </c>
      <c r="K10" s="6">
        <f>IF(I10&lt;&gt;"",IF(YEAR(I10)&gt;2027,12,IF(DAY(I10)=DAY(EOMONTH(I10,0)),MONTH(I10),MONTH(I10)-1)),12)</f>
      </c>
      <c r="L10" s="6">
        <f>IF(OR(J10="",K10="",K10&lt;J10),0,K10-J10+1)</f>
      </c>
      <c r="M10" s="7">
        <f>IF(D10&lt;&gt;"Y",0,ROUNDDOWN(L10/12,2))</f>
      </c>
      <c r="N10" s="6">
        <f>IF(Q10="Y",L10,0)</f>
      </c>
      <c r="O10" s="7">
        <f>IF(Q10="Y",M10,0)</f>
      </c>
      <c r="P10" s="6">
        <f>IF(AND(C10&lt;&gt;"",H10&lt;&gt;""),DATEDIF(C10,H10,"Y"),"")</f>
      </c>
      <c r="Q10" s="6">
        <f>IF(OR(S10="Y",T10="Y",U10="Y",V10="Y"),"Y",IF(AND(P10&lt;&gt;"",P10&gt;=15,P10&lt;=34),"Y","N"))</f>
      </c>
      <c r="R10" s="8">
        <f>IF(C10&lt;&gt;"",DATE(YEAR(C10)+35,MONTH(C10),DAY(C10)),"")</f>
      </c>
      <c r="S10" s="5" t="s">
        <v>25</v>
      </c>
      <c r="T10" s="6">
        <f>IF(AND(C10&lt;&gt;"",H10&lt;&gt;""),IF(DATEDIF(C10,H10,"Y")&gt;=60,"Y","N"),"N")</f>
      </c>
      <c r="U10" s="5" t="s">
        <v>25</v>
      </c>
      <c r="V10" s="5" t="s">
        <v>25</v>
      </c>
      <c r="W10" s="5" t="s">
        <v>25</v>
      </c>
      <c r="X10" s="5" t="s">
        <v>25</v>
      </c>
    </row>
    <row r="11" ht="18" customHeight="1" spans="1:24" x14ac:dyDescent="0.25">
      <c r="A11" s="2">
        <v>10</v>
      </c>
      <c r="B11" s="3"/>
      <c r="C11" s="4"/>
      <c r="D11" s="5">
        <f>IF(E11&lt;&gt;"","N","Y")</f>
      </c>
      <c r="E11" s="3"/>
      <c r="F11" s="3"/>
      <c r="G11" s="2" t="s">
        <v>24</v>
      </c>
      <c r="H11" s="4"/>
      <c r="I11" s="4"/>
      <c r="J11" s="6">
        <f>IF(H11&lt;&gt;"",IF(YEAR(H11)&lt;2027,1,MONTH(H11)),"")</f>
      </c>
      <c r="K11" s="6">
        <f>IF(I11&lt;&gt;"",IF(YEAR(I11)&gt;2027,12,IF(DAY(I11)=DAY(EOMONTH(I11,0)),MONTH(I11),MONTH(I11)-1)),12)</f>
      </c>
      <c r="L11" s="6">
        <f>IF(OR(J11="",K11="",K11&lt;J11),0,K11-J11+1)</f>
      </c>
      <c r="M11" s="7">
        <f>IF(D11&lt;&gt;"Y",0,ROUNDDOWN(L11/12,2))</f>
      </c>
      <c r="N11" s="6">
        <f>IF(Q11="Y",L11,0)</f>
      </c>
      <c r="O11" s="7">
        <f>IF(Q11="Y",M11,0)</f>
      </c>
      <c r="P11" s="6">
        <f>IF(AND(C11&lt;&gt;"",H11&lt;&gt;""),DATEDIF(C11,H11,"Y"),"")</f>
      </c>
      <c r="Q11" s="6">
        <f>IF(OR(S11="Y",T11="Y",U11="Y",V11="Y"),"Y",IF(AND(P11&lt;&gt;"",P11&gt;=15,P11&lt;=34),"Y","N"))</f>
      </c>
      <c r="R11" s="8">
        <f>IF(C11&lt;&gt;"",DATE(YEAR(C11)+35,MONTH(C11),DAY(C11)),"")</f>
      </c>
      <c r="S11" s="5" t="s">
        <v>25</v>
      </c>
      <c r="T11" s="6">
        <f>IF(AND(C11&lt;&gt;"",H11&lt;&gt;""),IF(DATEDIF(C11,H11,"Y")&gt;=60,"Y","N"),"N")</f>
      </c>
      <c r="U11" s="5" t="s">
        <v>25</v>
      </c>
      <c r="V11" s="5" t="s">
        <v>25</v>
      </c>
      <c r="W11" s="5" t="s">
        <v>25</v>
      </c>
      <c r="X11" s="5" t="s">
        <v>25</v>
      </c>
    </row>
    <row r="12" ht="18" customHeight="1" spans="1:24" x14ac:dyDescent="0.25">
      <c r="A12" s="2">
        <v>11</v>
      </c>
      <c r="B12" s="3"/>
      <c r="C12" s="4"/>
      <c r="D12" s="5">
        <f>IF(E12&lt;&gt;"","N","Y")</f>
      </c>
      <c r="E12" s="3"/>
      <c r="F12" s="3"/>
      <c r="G12" s="2" t="s">
        <v>24</v>
      </c>
      <c r="H12" s="4"/>
      <c r="I12" s="4"/>
      <c r="J12" s="6">
        <f>IF(H12&lt;&gt;"",IF(YEAR(H12)&lt;2027,1,MONTH(H12)),"")</f>
      </c>
      <c r="K12" s="6">
        <f>IF(I12&lt;&gt;"",IF(YEAR(I12)&gt;2027,12,IF(DAY(I12)=DAY(EOMONTH(I12,0)),MONTH(I12),MONTH(I12)-1)),12)</f>
      </c>
      <c r="L12" s="6">
        <f>IF(OR(J12="",K12="",K12&lt;J12),0,K12-J12+1)</f>
      </c>
      <c r="M12" s="7">
        <f>IF(D12&lt;&gt;"Y",0,ROUNDDOWN(L12/12,2))</f>
      </c>
      <c r="N12" s="6">
        <f>IF(Q12="Y",L12,0)</f>
      </c>
      <c r="O12" s="7">
        <f>IF(Q12="Y",M12,0)</f>
      </c>
      <c r="P12" s="6">
        <f>IF(AND(C12&lt;&gt;"",H12&lt;&gt;""),DATEDIF(C12,H12,"Y"),"")</f>
      </c>
      <c r="Q12" s="6">
        <f>IF(OR(S12="Y",T12="Y",U12="Y",V12="Y"),"Y",IF(AND(P12&lt;&gt;"",P12&gt;=15,P12&lt;=34),"Y","N"))</f>
      </c>
      <c r="R12" s="8">
        <f>IF(C12&lt;&gt;"",DATE(YEAR(C12)+35,MONTH(C12),DAY(C12)),"")</f>
      </c>
      <c r="S12" s="5" t="s">
        <v>25</v>
      </c>
      <c r="T12" s="6">
        <f>IF(AND(C12&lt;&gt;"",H12&lt;&gt;""),IF(DATEDIF(C12,H12,"Y")&gt;=60,"Y","N"),"N")</f>
      </c>
      <c r="U12" s="5" t="s">
        <v>25</v>
      </c>
      <c r="V12" s="5" t="s">
        <v>25</v>
      </c>
      <c r="W12" s="5" t="s">
        <v>25</v>
      </c>
      <c r="X12" s="5" t="s">
        <v>25</v>
      </c>
    </row>
    <row r="13" ht="18" customHeight="1" spans="1:24" x14ac:dyDescent="0.25">
      <c r="A13" s="2">
        <v>12</v>
      </c>
      <c r="B13" s="3"/>
      <c r="C13" s="4"/>
      <c r="D13" s="5">
        <f>IF(E13&lt;&gt;"","N","Y")</f>
      </c>
      <c r="E13" s="3"/>
      <c r="F13" s="3"/>
      <c r="G13" s="2" t="s">
        <v>24</v>
      </c>
      <c r="H13" s="4"/>
      <c r="I13" s="4"/>
      <c r="J13" s="6">
        <f>IF(H13&lt;&gt;"",IF(YEAR(H13)&lt;2027,1,MONTH(H13)),"")</f>
      </c>
      <c r="K13" s="6">
        <f>IF(I13&lt;&gt;"",IF(YEAR(I13)&gt;2027,12,IF(DAY(I13)=DAY(EOMONTH(I13,0)),MONTH(I13),MONTH(I13)-1)),12)</f>
      </c>
      <c r="L13" s="6">
        <f>IF(OR(J13="",K13="",K13&lt;J13),0,K13-J13+1)</f>
      </c>
      <c r="M13" s="7">
        <f>IF(D13&lt;&gt;"Y",0,ROUNDDOWN(L13/12,2))</f>
      </c>
      <c r="N13" s="6">
        <f>IF(Q13="Y",L13,0)</f>
      </c>
      <c r="O13" s="7">
        <f>IF(Q13="Y",M13,0)</f>
      </c>
      <c r="P13" s="6">
        <f>IF(AND(C13&lt;&gt;"",H13&lt;&gt;""),DATEDIF(C13,H13,"Y"),"")</f>
      </c>
      <c r="Q13" s="6">
        <f>IF(OR(S13="Y",T13="Y",U13="Y",V13="Y"),"Y",IF(AND(P13&lt;&gt;"",P13&gt;=15,P13&lt;=34),"Y","N"))</f>
      </c>
      <c r="R13" s="8">
        <f>IF(C13&lt;&gt;"",DATE(YEAR(C13)+35,MONTH(C13),DAY(C13)),"")</f>
      </c>
      <c r="S13" s="5" t="s">
        <v>25</v>
      </c>
      <c r="T13" s="6">
        <f>IF(AND(C13&lt;&gt;"",H13&lt;&gt;""),IF(DATEDIF(C13,H13,"Y")&gt;=60,"Y","N"),"N")</f>
      </c>
      <c r="U13" s="5" t="s">
        <v>25</v>
      </c>
      <c r="V13" s="5" t="s">
        <v>25</v>
      </c>
      <c r="W13" s="5" t="s">
        <v>25</v>
      </c>
      <c r="X13" s="5" t="s">
        <v>25</v>
      </c>
    </row>
    <row r="14" ht="18" customHeight="1" spans="1:24" x14ac:dyDescent="0.25">
      <c r="A14" s="2">
        <v>13</v>
      </c>
      <c r="B14" s="3"/>
      <c r="C14" s="4"/>
      <c r="D14" s="5">
        <f>IF(E14&lt;&gt;"","N","Y")</f>
      </c>
      <c r="E14" s="3"/>
      <c r="F14" s="3"/>
      <c r="G14" s="2" t="s">
        <v>24</v>
      </c>
      <c r="H14" s="4"/>
      <c r="I14" s="4"/>
      <c r="J14" s="6">
        <f>IF(H14&lt;&gt;"",IF(YEAR(H14)&lt;2027,1,MONTH(H14)),"")</f>
      </c>
      <c r="K14" s="6">
        <f>IF(I14&lt;&gt;"",IF(YEAR(I14)&gt;2027,12,IF(DAY(I14)=DAY(EOMONTH(I14,0)),MONTH(I14),MONTH(I14)-1)),12)</f>
      </c>
      <c r="L14" s="6">
        <f>IF(OR(J14="",K14="",K14&lt;J14),0,K14-J14+1)</f>
      </c>
      <c r="M14" s="7">
        <f>IF(D14&lt;&gt;"Y",0,ROUNDDOWN(L14/12,2))</f>
      </c>
      <c r="N14" s="6">
        <f>IF(Q14="Y",L14,0)</f>
      </c>
      <c r="O14" s="7">
        <f>IF(Q14="Y",M14,0)</f>
      </c>
      <c r="P14" s="6">
        <f>IF(AND(C14&lt;&gt;"",H14&lt;&gt;""),DATEDIF(C14,H14,"Y"),"")</f>
      </c>
      <c r="Q14" s="6">
        <f>IF(OR(S14="Y",T14="Y",U14="Y",V14="Y"),"Y",IF(AND(P14&lt;&gt;"",P14&gt;=15,P14&lt;=34),"Y","N"))</f>
      </c>
      <c r="R14" s="8">
        <f>IF(C14&lt;&gt;"",DATE(YEAR(C14)+35,MONTH(C14),DAY(C14)),"")</f>
      </c>
      <c r="S14" s="5" t="s">
        <v>25</v>
      </c>
      <c r="T14" s="6">
        <f>IF(AND(C14&lt;&gt;"",H14&lt;&gt;""),IF(DATEDIF(C14,H14,"Y")&gt;=60,"Y","N"),"N")</f>
      </c>
      <c r="U14" s="5" t="s">
        <v>25</v>
      </c>
      <c r="V14" s="5" t="s">
        <v>25</v>
      </c>
      <c r="W14" s="5" t="s">
        <v>25</v>
      </c>
      <c r="X14" s="5" t="s">
        <v>25</v>
      </c>
    </row>
    <row r="15" ht="18" customHeight="1" spans="1:24" x14ac:dyDescent="0.25">
      <c r="A15" s="2">
        <v>14</v>
      </c>
      <c r="B15" s="3"/>
      <c r="C15" s="4"/>
      <c r="D15" s="5">
        <f>IF(E15&lt;&gt;"","N","Y")</f>
      </c>
      <c r="E15" s="3"/>
      <c r="F15" s="3"/>
      <c r="G15" s="2" t="s">
        <v>24</v>
      </c>
      <c r="H15" s="4"/>
      <c r="I15" s="4"/>
      <c r="J15" s="6">
        <f>IF(H15&lt;&gt;"",IF(YEAR(H15)&lt;2027,1,MONTH(H15)),"")</f>
      </c>
      <c r="K15" s="6">
        <f>IF(I15&lt;&gt;"",IF(YEAR(I15)&gt;2027,12,IF(DAY(I15)=DAY(EOMONTH(I15,0)),MONTH(I15),MONTH(I15)-1)),12)</f>
      </c>
      <c r="L15" s="6">
        <f>IF(OR(J15="",K15="",K15&lt;J15),0,K15-J15+1)</f>
      </c>
      <c r="M15" s="7">
        <f>IF(D15&lt;&gt;"Y",0,ROUNDDOWN(L15/12,2))</f>
      </c>
      <c r="N15" s="6">
        <f>IF(Q15="Y",L15,0)</f>
      </c>
      <c r="O15" s="7">
        <f>IF(Q15="Y",M15,0)</f>
      </c>
      <c r="P15" s="6">
        <f>IF(AND(C15&lt;&gt;"",H15&lt;&gt;""),DATEDIF(C15,H15,"Y"),"")</f>
      </c>
      <c r="Q15" s="6">
        <f>IF(OR(S15="Y",T15="Y",U15="Y",V15="Y"),"Y",IF(AND(P15&lt;&gt;"",P15&gt;=15,P15&lt;=34),"Y","N"))</f>
      </c>
      <c r="R15" s="8">
        <f>IF(C15&lt;&gt;"",DATE(YEAR(C15)+35,MONTH(C15),DAY(C15)),"")</f>
      </c>
      <c r="S15" s="5" t="s">
        <v>25</v>
      </c>
      <c r="T15" s="6">
        <f>IF(AND(C15&lt;&gt;"",H15&lt;&gt;""),IF(DATEDIF(C15,H15,"Y")&gt;=60,"Y","N"),"N")</f>
      </c>
      <c r="U15" s="5" t="s">
        <v>25</v>
      </c>
      <c r="V15" s="5" t="s">
        <v>25</v>
      </c>
      <c r="W15" s="5" t="s">
        <v>25</v>
      </c>
      <c r="X15" s="5" t="s">
        <v>25</v>
      </c>
    </row>
    <row r="16" ht="18" customHeight="1" spans="1:24" x14ac:dyDescent="0.25">
      <c r="A16" s="2">
        <v>15</v>
      </c>
      <c r="B16" s="3"/>
      <c r="C16" s="4"/>
      <c r="D16" s="5">
        <f>IF(E16&lt;&gt;"","N","Y")</f>
      </c>
      <c r="E16" s="3"/>
      <c r="F16" s="3"/>
      <c r="G16" s="2" t="s">
        <v>24</v>
      </c>
      <c r="H16" s="4"/>
      <c r="I16" s="4"/>
      <c r="J16" s="6">
        <f>IF(H16&lt;&gt;"",IF(YEAR(H16)&lt;2027,1,MONTH(H16)),"")</f>
      </c>
      <c r="K16" s="6">
        <f>IF(I16&lt;&gt;"",IF(YEAR(I16)&gt;2027,12,IF(DAY(I16)=DAY(EOMONTH(I16,0)),MONTH(I16),MONTH(I16)-1)),12)</f>
      </c>
      <c r="L16" s="6">
        <f>IF(OR(J16="",K16="",K16&lt;J16),0,K16-J16+1)</f>
      </c>
      <c r="M16" s="7">
        <f>IF(D16&lt;&gt;"Y",0,ROUNDDOWN(L16/12,2))</f>
      </c>
      <c r="N16" s="6">
        <f>IF(Q16="Y",L16,0)</f>
      </c>
      <c r="O16" s="7">
        <f>IF(Q16="Y",M16,0)</f>
      </c>
      <c r="P16" s="6">
        <f>IF(AND(C16&lt;&gt;"",H16&lt;&gt;""),DATEDIF(C16,H16,"Y"),"")</f>
      </c>
      <c r="Q16" s="6">
        <f>IF(OR(S16="Y",T16="Y",U16="Y",V16="Y"),"Y",IF(AND(P16&lt;&gt;"",P16&gt;=15,P16&lt;=34),"Y","N"))</f>
      </c>
      <c r="R16" s="8">
        <f>IF(C16&lt;&gt;"",DATE(YEAR(C16)+35,MONTH(C16),DAY(C16)),"")</f>
      </c>
      <c r="S16" s="5" t="s">
        <v>25</v>
      </c>
      <c r="T16" s="6">
        <f>IF(AND(C16&lt;&gt;"",H16&lt;&gt;""),IF(DATEDIF(C16,H16,"Y")&gt;=60,"Y","N"),"N")</f>
      </c>
      <c r="U16" s="5" t="s">
        <v>25</v>
      </c>
      <c r="V16" s="5" t="s">
        <v>25</v>
      </c>
      <c r="W16" s="5" t="s">
        <v>25</v>
      </c>
      <c r="X16" s="5" t="s">
        <v>25</v>
      </c>
    </row>
    <row r="17" ht="18" customHeight="1" spans="1:24" x14ac:dyDescent="0.25">
      <c r="A17" s="2">
        <v>16</v>
      </c>
      <c r="B17" s="3"/>
      <c r="C17" s="4"/>
      <c r="D17" s="5">
        <f>IF(E17&lt;&gt;"","N","Y")</f>
      </c>
      <c r="E17" s="3"/>
      <c r="F17" s="3"/>
      <c r="G17" s="2" t="s">
        <v>24</v>
      </c>
      <c r="H17" s="4"/>
      <c r="I17" s="4"/>
      <c r="J17" s="6">
        <f>IF(H17&lt;&gt;"",IF(YEAR(H17)&lt;2027,1,MONTH(H17)),"")</f>
      </c>
      <c r="K17" s="6">
        <f>IF(I17&lt;&gt;"",IF(YEAR(I17)&gt;2027,12,IF(DAY(I17)=DAY(EOMONTH(I17,0)),MONTH(I17),MONTH(I17)-1)),12)</f>
      </c>
      <c r="L17" s="6">
        <f>IF(OR(J17="",K17="",K17&lt;J17),0,K17-J17+1)</f>
      </c>
      <c r="M17" s="7">
        <f>IF(D17&lt;&gt;"Y",0,ROUNDDOWN(L17/12,2))</f>
      </c>
      <c r="N17" s="6">
        <f>IF(Q17="Y",L17,0)</f>
      </c>
      <c r="O17" s="7">
        <f>IF(Q17="Y",M17,0)</f>
      </c>
      <c r="P17" s="6">
        <f>IF(AND(C17&lt;&gt;"",H17&lt;&gt;""),DATEDIF(C17,H17,"Y"),"")</f>
      </c>
      <c r="Q17" s="6">
        <f>IF(OR(S17="Y",T17="Y",U17="Y",V17="Y"),"Y",IF(AND(P17&lt;&gt;"",P17&gt;=15,P17&lt;=34),"Y","N"))</f>
      </c>
      <c r="R17" s="8">
        <f>IF(C17&lt;&gt;"",DATE(YEAR(C17)+35,MONTH(C17),DAY(C17)),"")</f>
      </c>
      <c r="S17" s="5" t="s">
        <v>25</v>
      </c>
      <c r="T17" s="6">
        <f>IF(AND(C17&lt;&gt;"",H17&lt;&gt;""),IF(DATEDIF(C17,H17,"Y")&gt;=60,"Y","N"),"N")</f>
      </c>
      <c r="U17" s="5" t="s">
        <v>25</v>
      </c>
      <c r="V17" s="5" t="s">
        <v>25</v>
      </c>
      <c r="W17" s="5" t="s">
        <v>25</v>
      </c>
      <c r="X17" s="5" t="s">
        <v>25</v>
      </c>
    </row>
    <row r="18" ht="18" customHeight="1" spans="1:24" x14ac:dyDescent="0.25">
      <c r="A18" s="2">
        <v>17</v>
      </c>
      <c r="B18" s="3"/>
      <c r="C18" s="4"/>
      <c r="D18" s="5">
        <f>IF(E18&lt;&gt;"","N","Y")</f>
      </c>
      <c r="E18" s="3"/>
      <c r="F18" s="3"/>
      <c r="G18" s="2" t="s">
        <v>24</v>
      </c>
      <c r="H18" s="4"/>
      <c r="I18" s="4"/>
      <c r="J18" s="6">
        <f>IF(H18&lt;&gt;"",IF(YEAR(H18)&lt;2027,1,MONTH(H18)),"")</f>
      </c>
      <c r="K18" s="6">
        <f>IF(I18&lt;&gt;"",IF(YEAR(I18)&gt;2027,12,IF(DAY(I18)=DAY(EOMONTH(I18,0)),MONTH(I18),MONTH(I18)-1)),12)</f>
      </c>
      <c r="L18" s="6">
        <f>IF(OR(J18="",K18="",K18&lt;J18),0,K18-J18+1)</f>
      </c>
      <c r="M18" s="7">
        <f>IF(D18&lt;&gt;"Y",0,ROUNDDOWN(L18/12,2))</f>
      </c>
      <c r="N18" s="6">
        <f>IF(Q18="Y",L18,0)</f>
      </c>
      <c r="O18" s="7">
        <f>IF(Q18="Y",M18,0)</f>
      </c>
      <c r="P18" s="6">
        <f>IF(AND(C18&lt;&gt;"",H18&lt;&gt;""),DATEDIF(C18,H18,"Y"),"")</f>
      </c>
      <c r="Q18" s="6">
        <f>IF(OR(S18="Y",T18="Y",U18="Y",V18="Y"),"Y",IF(AND(P18&lt;&gt;"",P18&gt;=15,P18&lt;=34),"Y","N"))</f>
      </c>
      <c r="R18" s="8">
        <f>IF(C18&lt;&gt;"",DATE(YEAR(C18)+35,MONTH(C18),DAY(C18)),"")</f>
      </c>
      <c r="S18" s="5" t="s">
        <v>25</v>
      </c>
      <c r="T18" s="6">
        <f>IF(AND(C18&lt;&gt;"",H18&lt;&gt;""),IF(DATEDIF(C18,H18,"Y")&gt;=60,"Y","N"),"N")</f>
      </c>
      <c r="U18" s="5" t="s">
        <v>25</v>
      </c>
      <c r="V18" s="5" t="s">
        <v>25</v>
      </c>
      <c r="W18" s="5" t="s">
        <v>25</v>
      </c>
      <c r="X18" s="5" t="s">
        <v>25</v>
      </c>
    </row>
    <row r="19" ht="18" customHeight="1" spans="1:24" x14ac:dyDescent="0.25">
      <c r="A19" s="2">
        <v>18</v>
      </c>
      <c r="B19" s="3"/>
      <c r="C19" s="4"/>
      <c r="D19" s="5">
        <f>IF(E19&lt;&gt;"","N","Y")</f>
      </c>
      <c r="E19" s="3"/>
      <c r="F19" s="3"/>
      <c r="G19" s="2" t="s">
        <v>24</v>
      </c>
      <c r="H19" s="4"/>
      <c r="I19" s="4"/>
      <c r="J19" s="6">
        <f>IF(H19&lt;&gt;"",IF(YEAR(H19)&lt;2027,1,MONTH(H19)),"")</f>
      </c>
      <c r="K19" s="6">
        <f>IF(I19&lt;&gt;"",IF(YEAR(I19)&gt;2027,12,IF(DAY(I19)=DAY(EOMONTH(I19,0)),MONTH(I19),MONTH(I19)-1)),12)</f>
      </c>
      <c r="L19" s="6">
        <f>IF(OR(J19="",K19="",K19&lt;J19),0,K19-J19+1)</f>
      </c>
      <c r="M19" s="7">
        <f>IF(D19&lt;&gt;"Y",0,ROUNDDOWN(L19/12,2))</f>
      </c>
      <c r="N19" s="6">
        <f>IF(Q19="Y",L19,0)</f>
      </c>
      <c r="O19" s="7">
        <f>IF(Q19="Y",M19,0)</f>
      </c>
      <c r="P19" s="6">
        <f>IF(AND(C19&lt;&gt;"",H19&lt;&gt;""),DATEDIF(C19,H19,"Y"),"")</f>
      </c>
      <c r="Q19" s="6">
        <f>IF(OR(S19="Y",T19="Y",U19="Y",V19="Y"),"Y",IF(AND(P19&lt;&gt;"",P19&gt;=15,P19&lt;=34),"Y","N"))</f>
      </c>
      <c r="R19" s="8">
        <f>IF(C19&lt;&gt;"",DATE(YEAR(C19)+35,MONTH(C19),DAY(C19)),"")</f>
      </c>
      <c r="S19" s="5" t="s">
        <v>25</v>
      </c>
      <c r="T19" s="6">
        <f>IF(AND(C19&lt;&gt;"",H19&lt;&gt;""),IF(DATEDIF(C19,H19,"Y")&gt;=60,"Y","N"),"N")</f>
      </c>
      <c r="U19" s="5" t="s">
        <v>25</v>
      </c>
      <c r="V19" s="5" t="s">
        <v>25</v>
      </c>
      <c r="W19" s="5" t="s">
        <v>25</v>
      </c>
      <c r="X19" s="5" t="s">
        <v>25</v>
      </c>
    </row>
    <row r="20" ht="18" customHeight="1" spans="1:24" x14ac:dyDescent="0.25">
      <c r="A20" s="2">
        <v>19</v>
      </c>
      <c r="B20" s="3"/>
      <c r="C20" s="4"/>
      <c r="D20" s="5">
        <f>IF(E20&lt;&gt;"","N","Y")</f>
      </c>
      <c r="E20" s="3"/>
      <c r="F20" s="3"/>
      <c r="G20" s="2" t="s">
        <v>24</v>
      </c>
      <c r="H20" s="4"/>
      <c r="I20" s="4"/>
      <c r="J20" s="6">
        <f>IF(H20&lt;&gt;"",IF(YEAR(H20)&lt;2027,1,MONTH(H20)),"")</f>
      </c>
      <c r="K20" s="6">
        <f>IF(I20&lt;&gt;"",IF(YEAR(I20)&gt;2027,12,IF(DAY(I20)=DAY(EOMONTH(I20,0)),MONTH(I20),MONTH(I20)-1)),12)</f>
      </c>
      <c r="L20" s="6">
        <f>IF(OR(J20="",K20="",K20&lt;J20),0,K20-J20+1)</f>
      </c>
      <c r="M20" s="7">
        <f>IF(D20&lt;&gt;"Y",0,ROUNDDOWN(L20/12,2))</f>
      </c>
      <c r="N20" s="6">
        <f>IF(Q20="Y",L20,0)</f>
      </c>
      <c r="O20" s="7">
        <f>IF(Q20="Y",M20,0)</f>
      </c>
      <c r="P20" s="6">
        <f>IF(AND(C20&lt;&gt;"",H20&lt;&gt;""),DATEDIF(C20,H20,"Y"),"")</f>
      </c>
      <c r="Q20" s="6">
        <f>IF(OR(S20="Y",T20="Y",U20="Y",V20="Y"),"Y",IF(AND(P20&lt;&gt;"",P20&gt;=15,P20&lt;=34),"Y","N"))</f>
      </c>
      <c r="R20" s="8">
        <f>IF(C20&lt;&gt;"",DATE(YEAR(C20)+35,MONTH(C20),DAY(C20)),"")</f>
      </c>
      <c r="S20" s="5" t="s">
        <v>25</v>
      </c>
      <c r="T20" s="6">
        <f>IF(AND(C20&lt;&gt;"",H20&lt;&gt;""),IF(DATEDIF(C20,H20,"Y")&gt;=60,"Y","N"),"N")</f>
      </c>
      <c r="U20" s="5" t="s">
        <v>25</v>
      </c>
      <c r="V20" s="5" t="s">
        <v>25</v>
      </c>
      <c r="W20" s="5" t="s">
        <v>25</v>
      </c>
      <c r="X20" s="5" t="s">
        <v>25</v>
      </c>
    </row>
    <row r="21" ht="18" customHeight="1" spans="1:24" x14ac:dyDescent="0.25">
      <c r="A21" s="2">
        <v>20</v>
      </c>
      <c r="B21" s="3"/>
      <c r="C21" s="4"/>
      <c r="D21" s="5">
        <f>IF(E21&lt;&gt;"","N","Y")</f>
      </c>
      <c r="E21" s="3"/>
      <c r="F21" s="3"/>
      <c r="G21" s="2" t="s">
        <v>24</v>
      </c>
      <c r="H21" s="4"/>
      <c r="I21" s="4"/>
      <c r="J21" s="6">
        <f>IF(H21&lt;&gt;"",IF(YEAR(H21)&lt;2027,1,MONTH(H21)),"")</f>
      </c>
      <c r="K21" s="6">
        <f>IF(I21&lt;&gt;"",IF(YEAR(I21)&gt;2027,12,IF(DAY(I21)=DAY(EOMONTH(I21,0)),MONTH(I21),MONTH(I21)-1)),12)</f>
      </c>
      <c r="L21" s="6">
        <f>IF(OR(J21="",K21="",K21&lt;J21),0,K21-J21+1)</f>
      </c>
      <c r="M21" s="7">
        <f>IF(D21&lt;&gt;"Y",0,ROUNDDOWN(L21/12,2))</f>
      </c>
      <c r="N21" s="6">
        <f>IF(Q21="Y",L21,0)</f>
      </c>
      <c r="O21" s="7">
        <f>IF(Q21="Y",M21,0)</f>
      </c>
      <c r="P21" s="6">
        <f>IF(AND(C21&lt;&gt;"",H21&lt;&gt;""),DATEDIF(C21,H21,"Y"),"")</f>
      </c>
      <c r="Q21" s="6">
        <f>IF(OR(S21="Y",T21="Y",U21="Y",V21="Y"),"Y",IF(AND(P21&lt;&gt;"",P21&gt;=15,P21&lt;=34),"Y","N"))</f>
      </c>
      <c r="R21" s="8">
        <f>IF(C21&lt;&gt;"",DATE(YEAR(C21)+35,MONTH(C21),DAY(C21)),"")</f>
      </c>
      <c r="S21" s="5" t="s">
        <v>25</v>
      </c>
      <c r="T21" s="6">
        <f>IF(AND(C21&lt;&gt;"",H21&lt;&gt;""),IF(DATEDIF(C21,H21,"Y")&gt;=60,"Y","N"),"N")</f>
      </c>
      <c r="U21" s="5" t="s">
        <v>25</v>
      </c>
      <c r="V21" s="5" t="s">
        <v>25</v>
      </c>
      <c r="W21" s="5" t="s">
        <v>25</v>
      </c>
      <c r="X21" s="5" t="s">
        <v>25</v>
      </c>
    </row>
    <row r="22" ht="18" customHeight="1" spans="1:24" x14ac:dyDescent="0.25">
      <c r="A22" s="2">
        <v>21</v>
      </c>
      <c r="B22" s="3"/>
      <c r="C22" s="4"/>
      <c r="D22" s="5">
        <f>IF(E22&lt;&gt;"","N","Y")</f>
      </c>
      <c r="E22" s="3"/>
      <c r="F22" s="3"/>
      <c r="G22" s="2" t="s">
        <v>24</v>
      </c>
      <c r="H22" s="4"/>
      <c r="I22" s="4"/>
      <c r="J22" s="6">
        <f>IF(H22&lt;&gt;"",IF(YEAR(H22)&lt;2027,1,MONTH(H22)),"")</f>
      </c>
      <c r="K22" s="6">
        <f>IF(I22&lt;&gt;"",IF(YEAR(I22)&gt;2027,12,IF(DAY(I22)=DAY(EOMONTH(I22,0)),MONTH(I22),MONTH(I22)-1)),12)</f>
      </c>
      <c r="L22" s="6">
        <f>IF(OR(J22="",K22="",K22&lt;J22),0,K22-J22+1)</f>
      </c>
      <c r="M22" s="7">
        <f>IF(D22&lt;&gt;"Y",0,ROUNDDOWN(L22/12,2))</f>
      </c>
      <c r="N22" s="6">
        <f>IF(Q22="Y",L22,0)</f>
      </c>
      <c r="O22" s="7">
        <f>IF(Q22="Y",M22,0)</f>
      </c>
      <c r="P22" s="6">
        <f>IF(AND(C22&lt;&gt;"",H22&lt;&gt;""),DATEDIF(C22,H22,"Y"),"")</f>
      </c>
      <c r="Q22" s="6">
        <f>IF(OR(S22="Y",T22="Y",U22="Y",V22="Y"),"Y",IF(AND(P22&lt;&gt;"",P22&gt;=15,P22&lt;=34),"Y","N"))</f>
      </c>
      <c r="R22" s="8">
        <f>IF(C22&lt;&gt;"",DATE(YEAR(C22)+35,MONTH(C22),DAY(C22)),"")</f>
      </c>
      <c r="S22" s="5" t="s">
        <v>25</v>
      </c>
      <c r="T22" s="6">
        <f>IF(AND(C22&lt;&gt;"",H22&lt;&gt;""),IF(DATEDIF(C22,H22,"Y")&gt;=60,"Y","N"),"N")</f>
      </c>
      <c r="U22" s="5" t="s">
        <v>25</v>
      </c>
      <c r="V22" s="5" t="s">
        <v>25</v>
      </c>
      <c r="W22" s="5" t="s">
        <v>25</v>
      </c>
      <c r="X22" s="5" t="s">
        <v>25</v>
      </c>
    </row>
    <row r="23" ht="18" customHeight="1" spans="1:24" x14ac:dyDescent="0.25">
      <c r="A23" s="2">
        <v>22</v>
      </c>
      <c r="B23" s="3"/>
      <c r="C23" s="4"/>
      <c r="D23" s="5">
        <f>IF(E23&lt;&gt;"","N","Y")</f>
      </c>
      <c r="E23" s="3"/>
      <c r="F23" s="3"/>
      <c r="G23" s="2" t="s">
        <v>24</v>
      </c>
      <c r="H23" s="4"/>
      <c r="I23" s="4"/>
      <c r="J23" s="6">
        <f>IF(H23&lt;&gt;"",IF(YEAR(H23)&lt;2027,1,MONTH(H23)),"")</f>
      </c>
      <c r="K23" s="6">
        <f>IF(I23&lt;&gt;"",IF(YEAR(I23)&gt;2027,12,IF(DAY(I23)=DAY(EOMONTH(I23,0)),MONTH(I23),MONTH(I23)-1)),12)</f>
      </c>
      <c r="L23" s="6">
        <f>IF(OR(J23="",K23="",K23&lt;J23),0,K23-J23+1)</f>
      </c>
      <c r="M23" s="7">
        <f>IF(D23&lt;&gt;"Y",0,ROUNDDOWN(L23/12,2))</f>
      </c>
      <c r="N23" s="6">
        <f>IF(Q23="Y",L23,0)</f>
      </c>
      <c r="O23" s="7">
        <f>IF(Q23="Y",M23,0)</f>
      </c>
      <c r="P23" s="6">
        <f>IF(AND(C23&lt;&gt;"",H23&lt;&gt;""),DATEDIF(C23,H23,"Y"),"")</f>
      </c>
      <c r="Q23" s="6">
        <f>IF(OR(S23="Y",T23="Y",U23="Y",V23="Y"),"Y",IF(AND(P23&lt;&gt;"",P23&gt;=15,P23&lt;=34),"Y","N"))</f>
      </c>
      <c r="R23" s="8">
        <f>IF(C23&lt;&gt;"",DATE(YEAR(C23)+35,MONTH(C23),DAY(C23)),"")</f>
      </c>
      <c r="S23" s="5" t="s">
        <v>25</v>
      </c>
      <c r="T23" s="6">
        <f>IF(AND(C23&lt;&gt;"",H23&lt;&gt;""),IF(DATEDIF(C23,H23,"Y")&gt;=60,"Y","N"),"N")</f>
      </c>
      <c r="U23" s="5" t="s">
        <v>25</v>
      </c>
      <c r="V23" s="5" t="s">
        <v>25</v>
      </c>
      <c r="W23" s="5" t="s">
        <v>25</v>
      </c>
      <c r="X23" s="5" t="s">
        <v>25</v>
      </c>
    </row>
    <row r="24" ht="18" customHeight="1" spans="1:24" x14ac:dyDescent="0.25">
      <c r="A24" s="2">
        <v>23</v>
      </c>
      <c r="B24" s="3"/>
      <c r="C24" s="4"/>
      <c r="D24" s="5">
        <f>IF(E24&lt;&gt;"","N","Y")</f>
      </c>
      <c r="E24" s="3"/>
      <c r="F24" s="3"/>
      <c r="G24" s="2" t="s">
        <v>24</v>
      </c>
      <c r="H24" s="4"/>
      <c r="I24" s="4"/>
      <c r="J24" s="6">
        <f>IF(H24&lt;&gt;"",IF(YEAR(H24)&lt;2027,1,MONTH(H24)),"")</f>
      </c>
      <c r="K24" s="6">
        <f>IF(I24&lt;&gt;"",IF(YEAR(I24)&gt;2027,12,IF(DAY(I24)=DAY(EOMONTH(I24,0)),MONTH(I24),MONTH(I24)-1)),12)</f>
      </c>
      <c r="L24" s="6">
        <f>IF(OR(J24="",K24="",K24&lt;J24),0,K24-J24+1)</f>
      </c>
      <c r="M24" s="7">
        <f>IF(D24&lt;&gt;"Y",0,ROUNDDOWN(L24/12,2))</f>
      </c>
      <c r="N24" s="6">
        <f>IF(Q24="Y",L24,0)</f>
      </c>
      <c r="O24" s="7">
        <f>IF(Q24="Y",M24,0)</f>
      </c>
      <c r="P24" s="6">
        <f>IF(AND(C24&lt;&gt;"",H24&lt;&gt;""),DATEDIF(C24,H24,"Y"),"")</f>
      </c>
      <c r="Q24" s="6">
        <f>IF(OR(S24="Y",T24="Y",U24="Y",V24="Y"),"Y",IF(AND(P24&lt;&gt;"",P24&gt;=15,P24&lt;=34),"Y","N"))</f>
      </c>
      <c r="R24" s="8">
        <f>IF(C24&lt;&gt;"",DATE(YEAR(C24)+35,MONTH(C24),DAY(C24)),"")</f>
      </c>
      <c r="S24" s="5" t="s">
        <v>25</v>
      </c>
      <c r="T24" s="6">
        <f>IF(AND(C24&lt;&gt;"",H24&lt;&gt;""),IF(DATEDIF(C24,H24,"Y")&gt;=60,"Y","N"),"N")</f>
      </c>
      <c r="U24" s="5" t="s">
        <v>25</v>
      </c>
      <c r="V24" s="5" t="s">
        <v>25</v>
      </c>
      <c r="W24" s="5" t="s">
        <v>25</v>
      </c>
      <c r="X24" s="5" t="s">
        <v>25</v>
      </c>
    </row>
    <row r="25" ht="18" customHeight="1" spans="1:24" x14ac:dyDescent="0.25">
      <c r="A25" s="2">
        <v>24</v>
      </c>
      <c r="B25" s="3"/>
      <c r="C25" s="4"/>
      <c r="D25" s="5">
        <f>IF(E25&lt;&gt;"","N","Y")</f>
      </c>
      <c r="E25" s="3"/>
      <c r="F25" s="3"/>
      <c r="G25" s="2" t="s">
        <v>24</v>
      </c>
      <c r="H25" s="4"/>
      <c r="I25" s="4"/>
      <c r="J25" s="6">
        <f>IF(H25&lt;&gt;"",IF(YEAR(H25)&lt;2027,1,MONTH(H25)),"")</f>
      </c>
      <c r="K25" s="6">
        <f>IF(I25&lt;&gt;"",IF(YEAR(I25)&gt;2027,12,IF(DAY(I25)=DAY(EOMONTH(I25,0)),MONTH(I25),MONTH(I25)-1)),12)</f>
      </c>
      <c r="L25" s="6">
        <f>IF(OR(J25="",K25="",K25&lt;J25),0,K25-J25+1)</f>
      </c>
      <c r="M25" s="7">
        <f>IF(D25&lt;&gt;"Y",0,ROUNDDOWN(L25/12,2))</f>
      </c>
      <c r="N25" s="6">
        <f>IF(Q25="Y",L25,0)</f>
      </c>
      <c r="O25" s="7">
        <f>IF(Q25="Y",M25,0)</f>
      </c>
      <c r="P25" s="6">
        <f>IF(AND(C25&lt;&gt;"",H25&lt;&gt;""),DATEDIF(C25,H25,"Y"),"")</f>
      </c>
      <c r="Q25" s="6">
        <f>IF(OR(S25="Y",T25="Y",U25="Y",V25="Y"),"Y",IF(AND(P25&lt;&gt;"",P25&gt;=15,P25&lt;=34),"Y","N"))</f>
      </c>
      <c r="R25" s="8">
        <f>IF(C25&lt;&gt;"",DATE(YEAR(C25)+35,MONTH(C25),DAY(C25)),"")</f>
      </c>
      <c r="S25" s="5" t="s">
        <v>25</v>
      </c>
      <c r="T25" s="6">
        <f>IF(AND(C25&lt;&gt;"",H25&lt;&gt;""),IF(DATEDIF(C25,H25,"Y")&gt;=60,"Y","N"),"N")</f>
      </c>
      <c r="U25" s="5" t="s">
        <v>25</v>
      </c>
      <c r="V25" s="5" t="s">
        <v>25</v>
      </c>
      <c r="W25" s="5" t="s">
        <v>25</v>
      </c>
      <c r="X25" s="5" t="s">
        <v>25</v>
      </c>
    </row>
    <row r="26" ht="18" customHeight="1" spans="1:24" x14ac:dyDescent="0.25">
      <c r="A26" s="2">
        <v>25</v>
      </c>
      <c r="B26" s="3"/>
      <c r="C26" s="4"/>
      <c r="D26" s="5">
        <f>IF(E26&lt;&gt;"","N","Y")</f>
      </c>
      <c r="E26" s="3"/>
      <c r="F26" s="3"/>
      <c r="G26" s="2" t="s">
        <v>24</v>
      </c>
      <c r="H26" s="4"/>
      <c r="I26" s="4"/>
      <c r="J26" s="6">
        <f>IF(H26&lt;&gt;"",IF(YEAR(H26)&lt;2027,1,MONTH(H26)),"")</f>
      </c>
      <c r="K26" s="6">
        <f>IF(I26&lt;&gt;"",IF(YEAR(I26)&gt;2027,12,IF(DAY(I26)=DAY(EOMONTH(I26,0)),MONTH(I26),MONTH(I26)-1)),12)</f>
      </c>
      <c r="L26" s="6">
        <f>IF(OR(J26="",K26="",K26&lt;J26),0,K26-J26+1)</f>
      </c>
      <c r="M26" s="7">
        <f>IF(D26&lt;&gt;"Y",0,ROUNDDOWN(L26/12,2))</f>
      </c>
      <c r="N26" s="6">
        <f>IF(Q26="Y",L26,0)</f>
      </c>
      <c r="O26" s="7">
        <f>IF(Q26="Y",M26,0)</f>
      </c>
      <c r="P26" s="6">
        <f>IF(AND(C26&lt;&gt;"",H26&lt;&gt;""),DATEDIF(C26,H26,"Y"),"")</f>
      </c>
      <c r="Q26" s="6">
        <f>IF(OR(S26="Y",T26="Y",U26="Y",V26="Y"),"Y",IF(AND(P26&lt;&gt;"",P26&gt;=15,P26&lt;=34),"Y","N"))</f>
      </c>
      <c r="R26" s="8">
        <f>IF(C26&lt;&gt;"",DATE(YEAR(C26)+35,MONTH(C26),DAY(C26)),"")</f>
      </c>
      <c r="S26" s="5" t="s">
        <v>25</v>
      </c>
      <c r="T26" s="6">
        <f>IF(AND(C26&lt;&gt;"",H26&lt;&gt;""),IF(DATEDIF(C26,H26,"Y")&gt;=60,"Y","N"),"N")</f>
      </c>
      <c r="U26" s="5" t="s">
        <v>25</v>
      </c>
      <c r="V26" s="5" t="s">
        <v>25</v>
      </c>
      <c r="W26" s="5" t="s">
        <v>25</v>
      </c>
      <c r="X26" s="5" t="s">
        <v>25</v>
      </c>
    </row>
    <row r="27" ht="18" customHeight="1" spans="1:24" x14ac:dyDescent="0.25">
      <c r="A27" s="2">
        <v>26</v>
      </c>
      <c r="B27" s="3"/>
      <c r="C27" s="4"/>
      <c r="D27" s="5">
        <f>IF(E27&lt;&gt;"","N","Y")</f>
      </c>
      <c r="E27" s="3"/>
      <c r="F27" s="3"/>
      <c r="G27" s="2" t="s">
        <v>24</v>
      </c>
      <c r="H27" s="4"/>
      <c r="I27" s="4"/>
      <c r="J27" s="6">
        <f>IF(H27&lt;&gt;"",IF(YEAR(H27)&lt;2027,1,MONTH(H27)),"")</f>
      </c>
      <c r="K27" s="6">
        <f>IF(I27&lt;&gt;"",IF(YEAR(I27)&gt;2027,12,IF(DAY(I27)=DAY(EOMONTH(I27,0)),MONTH(I27),MONTH(I27)-1)),12)</f>
      </c>
      <c r="L27" s="6">
        <f>IF(OR(J27="",K27="",K27&lt;J27),0,K27-J27+1)</f>
      </c>
      <c r="M27" s="7">
        <f>IF(D27&lt;&gt;"Y",0,ROUNDDOWN(L27/12,2))</f>
      </c>
      <c r="N27" s="6">
        <f>IF(Q27="Y",L27,0)</f>
      </c>
      <c r="O27" s="7">
        <f>IF(Q27="Y",M27,0)</f>
      </c>
      <c r="P27" s="6">
        <f>IF(AND(C27&lt;&gt;"",H27&lt;&gt;""),DATEDIF(C27,H27,"Y"),"")</f>
      </c>
      <c r="Q27" s="6">
        <f>IF(OR(S27="Y",T27="Y",U27="Y",V27="Y"),"Y",IF(AND(P27&lt;&gt;"",P27&gt;=15,P27&lt;=34),"Y","N"))</f>
      </c>
      <c r="R27" s="8">
        <f>IF(C27&lt;&gt;"",DATE(YEAR(C27)+35,MONTH(C27),DAY(C27)),"")</f>
      </c>
      <c r="S27" s="5" t="s">
        <v>25</v>
      </c>
      <c r="T27" s="6">
        <f>IF(AND(C27&lt;&gt;"",H27&lt;&gt;""),IF(DATEDIF(C27,H27,"Y")&gt;=60,"Y","N"),"N")</f>
      </c>
      <c r="U27" s="5" t="s">
        <v>25</v>
      </c>
      <c r="V27" s="5" t="s">
        <v>25</v>
      </c>
      <c r="W27" s="5" t="s">
        <v>25</v>
      </c>
      <c r="X27" s="5" t="s">
        <v>25</v>
      </c>
    </row>
    <row r="28" ht="18" customHeight="1" spans="1:24" x14ac:dyDescent="0.25">
      <c r="A28" s="2">
        <v>27</v>
      </c>
      <c r="B28" s="3"/>
      <c r="C28" s="4"/>
      <c r="D28" s="5">
        <f>IF(E28&lt;&gt;"","N","Y")</f>
      </c>
      <c r="E28" s="3"/>
      <c r="F28" s="3"/>
      <c r="G28" s="2" t="s">
        <v>24</v>
      </c>
      <c r="H28" s="4"/>
      <c r="I28" s="4"/>
      <c r="J28" s="6">
        <f>IF(H28&lt;&gt;"",IF(YEAR(H28)&lt;2027,1,MONTH(H28)),"")</f>
      </c>
      <c r="K28" s="6">
        <f>IF(I28&lt;&gt;"",IF(YEAR(I28)&gt;2027,12,IF(DAY(I28)=DAY(EOMONTH(I28,0)),MONTH(I28),MONTH(I28)-1)),12)</f>
      </c>
      <c r="L28" s="6">
        <f>IF(OR(J28="",K28="",K28&lt;J28),0,K28-J28+1)</f>
      </c>
      <c r="M28" s="7">
        <f>IF(D28&lt;&gt;"Y",0,ROUNDDOWN(L28/12,2))</f>
      </c>
      <c r="N28" s="6">
        <f>IF(Q28="Y",L28,0)</f>
      </c>
      <c r="O28" s="7">
        <f>IF(Q28="Y",M28,0)</f>
      </c>
      <c r="P28" s="6">
        <f>IF(AND(C28&lt;&gt;"",H28&lt;&gt;""),DATEDIF(C28,H28,"Y"),"")</f>
      </c>
      <c r="Q28" s="6">
        <f>IF(OR(S28="Y",T28="Y",U28="Y",V28="Y"),"Y",IF(AND(P28&lt;&gt;"",P28&gt;=15,P28&lt;=34),"Y","N"))</f>
      </c>
      <c r="R28" s="8">
        <f>IF(C28&lt;&gt;"",DATE(YEAR(C28)+35,MONTH(C28),DAY(C28)),"")</f>
      </c>
      <c r="S28" s="5" t="s">
        <v>25</v>
      </c>
      <c r="T28" s="6">
        <f>IF(AND(C28&lt;&gt;"",H28&lt;&gt;""),IF(DATEDIF(C28,H28,"Y")&gt;=60,"Y","N"),"N")</f>
      </c>
      <c r="U28" s="5" t="s">
        <v>25</v>
      </c>
      <c r="V28" s="5" t="s">
        <v>25</v>
      </c>
      <c r="W28" s="5" t="s">
        <v>25</v>
      </c>
      <c r="X28" s="5" t="s">
        <v>25</v>
      </c>
    </row>
    <row r="29" ht="18" customHeight="1" spans="1:24" x14ac:dyDescent="0.25">
      <c r="A29" s="2">
        <v>28</v>
      </c>
      <c r="B29" s="3"/>
      <c r="C29" s="4"/>
      <c r="D29" s="5">
        <f>IF(E29&lt;&gt;"","N","Y")</f>
      </c>
      <c r="E29" s="3"/>
      <c r="F29" s="3"/>
      <c r="G29" s="2" t="s">
        <v>24</v>
      </c>
      <c r="H29" s="4"/>
      <c r="I29" s="4"/>
      <c r="J29" s="6">
        <f>IF(H29&lt;&gt;"",IF(YEAR(H29)&lt;2027,1,MONTH(H29)),"")</f>
      </c>
      <c r="K29" s="6">
        <f>IF(I29&lt;&gt;"",IF(YEAR(I29)&gt;2027,12,IF(DAY(I29)=DAY(EOMONTH(I29,0)),MONTH(I29),MONTH(I29)-1)),12)</f>
      </c>
      <c r="L29" s="6">
        <f>IF(OR(J29="",K29="",K29&lt;J29),0,K29-J29+1)</f>
      </c>
      <c r="M29" s="7">
        <f>IF(D29&lt;&gt;"Y",0,ROUNDDOWN(L29/12,2))</f>
      </c>
      <c r="N29" s="6">
        <f>IF(Q29="Y",L29,0)</f>
      </c>
      <c r="O29" s="7">
        <f>IF(Q29="Y",M29,0)</f>
      </c>
      <c r="P29" s="6">
        <f>IF(AND(C29&lt;&gt;"",H29&lt;&gt;""),DATEDIF(C29,H29,"Y"),"")</f>
      </c>
      <c r="Q29" s="6">
        <f>IF(OR(S29="Y",T29="Y",U29="Y",V29="Y"),"Y",IF(AND(P29&lt;&gt;"",P29&gt;=15,P29&lt;=34),"Y","N"))</f>
      </c>
      <c r="R29" s="8">
        <f>IF(C29&lt;&gt;"",DATE(YEAR(C29)+35,MONTH(C29),DAY(C29)),"")</f>
      </c>
      <c r="S29" s="5" t="s">
        <v>25</v>
      </c>
      <c r="T29" s="6">
        <f>IF(AND(C29&lt;&gt;"",H29&lt;&gt;""),IF(DATEDIF(C29,H29,"Y")&gt;=60,"Y","N"),"N")</f>
      </c>
      <c r="U29" s="5" t="s">
        <v>25</v>
      </c>
      <c r="V29" s="5" t="s">
        <v>25</v>
      </c>
      <c r="W29" s="5" t="s">
        <v>25</v>
      </c>
      <c r="X29" s="5" t="s">
        <v>25</v>
      </c>
    </row>
    <row r="30" ht="18" customHeight="1" spans="1:24" x14ac:dyDescent="0.25">
      <c r="A30" s="2">
        <v>29</v>
      </c>
      <c r="B30" s="3"/>
      <c r="C30" s="4"/>
      <c r="D30" s="5">
        <f>IF(E30&lt;&gt;"","N","Y")</f>
      </c>
      <c r="E30" s="3"/>
      <c r="F30" s="3"/>
      <c r="G30" s="2" t="s">
        <v>24</v>
      </c>
      <c r="H30" s="4"/>
      <c r="I30" s="4"/>
      <c r="J30" s="6">
        <f>IF(H30&lt;&gt;"",IF(YEAR(H30)&lt;2027,1,MONTH(H30)),"")</f>
      </c>
      <c r="K30" s="6">
        <f>IF(I30&lt;&gt;"",IF(YEAR(I30)&gt;2027,12,IF(DAY(I30)=DAY(EOMONTH(I30,0)),MONTH(I30),MONTH(I30)-1)),12)</f>
      </c>
      <c r="L30" s="6">
        <f>IF(OR(J30="",K30="",K30&lt;J30),0,K30-J30+1)</f>
      </c>
      <c r="M30" s="7">
        <f>IF(D30&lt;&gt;"Y",0,ROUNDDOWN(L30/12,2))</f>
      </c>
      <c r="N30" s="6">
        <f>IF(Q30="Y",L30,0)</f>
      </c>
      <c r="O30" s="7">
        <f>IF(Q30="Y",M30,0)</f>
      </c>
      <c r="P30" s="6">
        <f>IF(AND(C30&lt;&gt;"",H30&lt;&gt;""),DATEDIF(C30,H30,"Y"),"")</f>
      </c>
      <c r="Q30" s="6">
        <f>IF(OR(S30="Y",T30="Y",U30="Y",V30="Y"),"Y",IF(AND(P30&lt;&gt;"",P30&gt;=15,P30&lt;=34),"Y","N"))</f>
      </c>
      <c r="R30" s="8">
        <f>IF(C30&lt;&gt;"",DATE(YEAR(C30)+35,MONTH(C30),DAY(C30)),"")</f>
      </c>
      <c r="S30" s="5" t="s">
        <v>25</v>
      </c>
      <c r="T30" s="6">
        <f>IF(AND(C30&lt;&gt;"",H30&lt;&gt;""),IF(DATEDIF(C30,H30,"Y")&gt;=60,"Y","N"),"N")</f>
      </c>
      <c r="U30" s="5" t="s">
        <v>25</v>
      </c>
      <c r="V30" s="5" t="s">
        <v>25</v>
      </c>
      <c r="W30" s="5" t="s">
        <v>25</v>
      </c>
      <c r="X30" s="5" t="s">
        <v>25</v>
      </c>
    </row>
    <row r="31" ht="18" customHeight="1" spans="1:24" x14ac:dyDescent="0.25">
      <c r="A31" s="2">
        <v>30</v>
      </c>
      <c r="B31" s="3"/>
      <c r="C31" s="4"/>
      <c r="D31" s="5">
        <f>IF(E31&lt;&gt;"","N","Y")</f>
      </c>
      <c r="E31" s="3"/>
      <c r="F31" s="3"/>
      <c r="G31" s="2" t="s">
        <v>24</v>
      </c>
      <c r="H31" s="4"/>
      <c r="I31" s="4"/>
      <c r="J31" s="6">
        <f>IF(H31&lt;&gt;"",IF(YEAR(H31)&lt;2027,1,MONTH(H31)),"")</f>
      </c>
      <c r="K31" s="6">
        <f>IF(I31&lt;&gt;"",IF(YEAR(I31)&gt;2027,12,IF(DAY(I31)=DAY(EOMONTH(I31,0)),MONTH(I31),MONTH(I31)-1)),12)</f>
      </c>
      <c r="L31" s="6">
        <f>IF(OR(J31="",K31="",K31&lt;J31),0,K31-J31+1)</f>
      </c>
      <c r="M31" s="7">
        <f>IF(D31&lt;&gt;"Y",0,ROUNDDOWN(L31/12,2))</f>
      </c>
      <c r="N31" s="6">
        <f>IF(Q31="Y",L31,0)</f>
      </c>
      <c r="O31" s="7">
        <f>IF(Q31="Y",M31,0)</f>
      </c>
      <c r="P31" s="6">
        <f>IF(AND(C31&lt;&gt;"",H31&lt;&gt;""),DATEDIF(C31,H31,"Y"),"")</f>
      </c>
      <c r="Q31" s="6">
        <f>IF(OR(S31="Y",T31="Y",U31="Y",V31="Y"),"Y",IF(AND(P31&lt;&gt;"",P31&gt;=15,P31&lt;=34),"Y","N"))</f>
      </c>
      <c r="R31" s="8">
        <f>IF(C31&lt;&gt;"",DATE(YEAR(C31)+35,MONTH(C31),DAY(C31)),"")</f>
      </c>
      <c r="S31" s="5" t="s">
        <v>25</v>
      </c>
      <c r="T31" s="6">
        <f>IF(AND(C31&lt;&gt;"",H31&lt;&gt;""),IF(DATEDIF(C31,H31,"Y")&gt;=60,"Y","N"),"N")</f>
      </c>
      <c r="U31" s="5" t="s">
        <v>25</v>
      </c>
      <c r="V31" s="5" t="s">
        <v>25</v>
      </c>
      <c r="W31" s="5" t="s">
        <v>25</v>
      </c>
      <c r="X31" s="5" t="s">
        <v>25</v>
      </c>
    </row>
    <row r="32" spans="1:24" x14ac:dyDescent="0.25">
      <c r="A32" s="9"/>
      <c r="B32" s="9" t="s">
        <v>26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10">
        <f>SUM(M2:M31)</f>
      </c>
      <c r="N32" s="9"/>
      <c r="O32" s="10">
        <f>SUM(O2:O31)</f>
      </c>
      <c r="P32" s="9"/>
      <c r="Q32" s="9"/>
      <c r="R32" s="9"/>
      <c r="S32" s="9"/>
      <c r="T32" s="9"/>
      <c r="U32" s="9"/>
      <c r="V32" s="9"/>
      <c r="W32" s="9"/>
      <c r="X32" s="9"/>
    </row>
  </sheetData>
  <autoFilter ref="A1:X1"/>
  <dataValidations count="10">
    <dataValidation type="list" allowBlank="1" sqref="D10:D31">
      <formula1>"Y,N"</formula1>
    </dataValidation>
    <dataValidation type="list" allowBlank="1" sqref="D2:D31">
      <formula1>"Y,N"</formula1>
    </dataValidation>
    <dataValidation type="list" allowBlank="1" sqref="E10:E31">
      <formula1>"1년 미만,단시간 근로자,법인의 임원,최대주주(출자자) 및 그 친족,원천징수사실 미확인 근로자,기타"</formula1>
    </dataValidation>
    <dataValidation type="list" allowBlank="1" sqref="E2:E31">
      <formula1>"1년 미만,단시간 근로자,법인의 임원,최대주주(출자자) 및 그 친족,원천징수사실 미확인 근로자,기타"</formula1>
    </dataValidation>
    <dataValidation type="list" allowBlank="1" sqref="F10:F31">
      <formula1>"0.5,0.75"</formula1>
    </dataValidation>
    <dataValidation type="list" allowBlank="1" sqref="F2:F31">
      <formula1>"0.5,0.75"</formula1>
    </dataValidation>
    <dataValidation type="list" allowBlank="1" sqref="G10:G31">
      <formula1>"Y,N"</formula1>
    </dataValidation>
    <dataValidation type="list" allowBlank="1" sqref="G2:G31">
      <formula1>"Y,N"</formula1>
    </dataValidation>
    <dataValidation type="list" allowBlank="1" sqref="S10:X31">
      <formula1>"Y,N"</formula1>
    </dataValidation>
    <dataValidation type="list" allowBlank="1" sqref="S2:X31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상시근로자수 판단 서식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2026-05-04T02:16:27Z</dcterms:created>
  <dcterms:modified xsi:type="dcterms:W3CDTF">2026-05-04T02:16:27Z</dcterms:modified>
</cp:coreProperties>
</file>